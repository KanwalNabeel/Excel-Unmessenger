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beel\Desktop\notes\"/>
    </mc:Choice>
  </mc:AlternateContent>
  <xr:revisionPtr revIDLastSave="0" documentId="13_ncr:1_{AAEB436A-0ADA-4BD5-A649-DBAE6BAA7AEC}" xr6:coauthVersionLast="47" xr6:coauthVersionMax="47" xr10:uidLastSave="{00000000-0000-0000-0000-000000000000}"/>
  <bookViews>
    <workbookView xWindow="1068" yWindow="-108" windowWidth="22080" windowHeight="13176" xr2:uid="{6062794C-D024-45A6-BAC4-75B41AD6892C}"/>
  </bookViews>
  <sheets>
    <sheet name="Unmessenger" sheetId="1" r:id="rId1"/>
  </sheets>
  <definedNames>
    <definedName name="Name">Unmessenger!$F$7:$F$1048576</definedName>
    <definedName name="salary">Table1[[#All],[Salary]]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" l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8" i="1"/>
</calcChain>
</file>

<file path=xl/sharedStrings.xml><?xml version="1.0" encoding="utf-8"?>
<sst xmlns="http://schemas.openxmlformats.org/spreadsheetml/2006/main" count="339" uniqueCount="169">
  <si>
    <t>Id</t>
  </si>
  <si>
    <t>Age</t>
  </si>
  <si>
    <t>Gender</t>
  </si>
  <si>
    <t>Email</t>
  </si>
  <si>
    <t>Phone</t>
  </si>
  <si>
    <t>Address</t>
  </si>
  <si>
    <t>M</t>
  </si>
  <si>
    <t>rohit.sharma@gmail.com</t>
  </si>
  <si>
    <t>654 14th St, Jaipur, Rajasthan, India</t>
  </si>
  <si>
    <t>F</t>
  </si>
  <si>
    <t>deepika.singh@yahoo.com</t>
  </si>
  <si>
    <t>321 15th St, Chennai, Tamil Nadu, India</t>
  </si>
  <si>
    <t>vikas.joshi@gmail.com</t>
  </si>
  <si>
    <t>nisha.verma@hotmail.com</t>
  </si>
  <si>
    <t>789 16th St, Hyderabad, Telangana, India</t>
  </si>
  <si>
    <t>manoj.kumar@yahoo.com</t>
  </si>
  <si>
    <t>901 17th St, Pune, Maharashtra, India</t>
  </si>
  <si>
    <t>sanjay.gupta@gmail.com</t>
  </si>
  <si>
    <t>anjali.sharma@yahoo.com</t>
  </si>
  <si>
    <t>567 19th St, Bangalore, Karnataka, India</t>
  </si>
  <si>
    <t>akash.patel@hotmail.com</t>
  </si>
  <si>
    <t>789 20th St, Mumbai, Maharashtra, India</t>
  </si>
  <si>
    <t>preeti.singh@gmail.com</t>
  </si>
  <si>
    <t>321 21st St, Kolkata, West Bengal, India</t>
  </si>
  <si>
    <t>john.doe@gmail.com</t>
  </si>
  <si>
    <t>123 Main St, Bangalore, Karnataka, India</t>
  </si>
  <si>
    <t>jane.smith@hotmail.com</t>
  </si>
  <si>
    <t>456 Park Ave, Mumbai, Maharashtra, India</t>
  </si>
  <si>
    <t>amit.patel@gmail.com</t>
  </si>
  <si>
    <t>789 3rd St, Kolkata, West Bengal, India</t>
  </si>
  <si>
    <t>priya.sharma@yahoo.com</t>
  </si>
  <si>
    <t>12 4th St, New Delhi, Delhi, India</t>
  </si>
  <si>
    <t>jane.doe@gmail.com</t>
  </si>
  <si>
    <t>rakesh.kumar@yahoo.com</t>
  </si>
  <si>
    <t>345 5th St, Jaipur, Rajasthan, India</t>
  </si>
  <si>
    <t>aman.verma@gmail.com</t>
  </si>
  <si>
    <t>neha.gupta@hotmail.com</t>
  </si>
  <si>
    <t>901 7th St, Hyderabad, Telangana, India</t>
  </si>
  <si>
    <t>naveen.sharma@gmail.com</t>
  </si>
  <si>
    <t>234 8th St, Pune, Maharashtra, India</t>
  </si>
  <si>
    <t>vinita.kapoor@yahoo.com</t>
  </si>
  <si>
    <t>567 9th St, Ahmedabad, Gujarat, India</t>
  </si>
  <si>
    <t>rajeev.kumar@hotmail.com</t>
  </si>
  <si>
    <t>789 10th St, Bangalore, Karnataka, India</t>
  </si>
  <si>
    <t>swati.singh@gmail.com</t>
  </si>
  <si>
    <t>654 12th St, Kolkata, West Bengal, India</t>
  </si>
  <si>
    <t>kavita.sharma@yahoo.com</t>
  </si>
  <si>
    <t>manish.patel@hotmail.com</t>
  </si>
  <si>
    <t>987 13th St, New Delhi, Delhi, India</t>
  </si>
  <si>
    <t>priyanka.jain@yahoo.com</t>
  </si>
  <si>
    <t>ravi.kumar@gmail.com</t>
  </si>
  <si>
    <t>901 22nd St, Patna, Bihar, India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</si>
  <si>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</si>
  <si>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</si>
  <si>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</si>
  <si>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</si>
  <si>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</si>
  <si>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rajeev.sharma@yahoo.com</t>
  </si>
  <si>
    <t>789 25th St, Jaipur, Rajasthan, India</t>
  </si>
  <si>
    <t>sarika.patel@hotmail.com</t>
  </si>
  <si>
    <t>654 26th St, Chennai, Tamil Nadu, India</t>
  </si>
  <si>
    <t>vinay.singh@gmail.com</t>
  </si>
  <si>
    <t>321 27th St, Hyderabad, Telangana, India</t>
  </si>
  <si>
    <t>priya.gupta@yahoo.com</t>
  </si>
  <si>
    <t>901 28th St, Pune, Maharashtra, India</t>
  </si>
  <si>
    <t>sushant.patel@hotmail.com</t>
  </si>
  <si>
    <t>567 29th St, Ahmedabad, Gujarat, India</t>
  </si>
  <si>
    <t>payal.sharma@gmail.com</t>
  </si>
  <si>
    <t>234 30th St, Bangalore, Karnataka, India</t>
  </si>
  <si>
    <t>mohit.verma@yahoo.com</t>
  </si>
  <si>
    <t>789 31st St, Mumbai, Maharashtra, India</t>
  </si>
  <si>
    <t>kavita.singh@hotmail.com</t>
  </si>
  <si>
    <t>901 32nd St, Kolkata, West Bengal, India</t>
  </si>
  <si>
    <t>ankit.patel@gmail.com</t>
  </si>
  <si>
    <t>321 33rd St, Patna, Bihar, India</t>
  </si>
  <si>
    <t>pooja.mishra@yahoo.com</t>
  </si>
  <si>
    <t>234 34th St, Bhopal, Madhya Pradesh, India</t>
  </si>
  <si>
    <t>mohan.kumar@gmail.com</t>
  </si>
  <si>
    <t>567 35th St, Lucknow, Uttar Pradesh, India</t>
  </si>
  <si>
    <t>anjali.gupta@hotmail.com</t>
  </si>
  <si>
    <t>654 36th St, Jaipur, Rajasthan, India</t>
  </si>
  <si>
    <t>mukesh.sharma@yahoo.com</t>
  </si>
  <si>
    <t>789 37th St, Chennai, Tamil Nadu, India</t>
  </si>
  <si>
    <t>arjun.singh@gmail.com</t>
  </si>
  <si>
    <t>divya.patel@yahoo.com</t>
  </si>
  <si>
    <t>567 38th St, Hyderabad, Telangana, India</t>
  </si>
  <si>
    <t>gaurav.kumar@gmail.com</t>
  </si>
  <si>
    <t>234 39th St, Pune, Maharashtra, India</t>
  </si>
  <si>
    <t>aditi.shah@hotmail.com</t>
  </si>
  <si>
    <t>901 40th St, Ahmedabad, Gujarat, India</t>
  </si>
  <si>
    <t>sandeep.singh@yahoo.com</t>
  </si>
  <si>
    <t>321 41st St, Bangalore, Karnataka, India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</si>
  <si>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</si>
  <si>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</si>
  <si>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</si>
  <si>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</si>
  <si>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</si>
  <si>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</si>
  <si>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</si>
  <si>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</si>
  <si>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</si>
  <si>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Hr</t>
  </si>
  <si>
    <t>Operations</t>
  </si>
  <si>
    <t>Sales</t>
  </si>
  <si>
    <t>Finance/Accounts</t>
  </si>
  <si>
    <t>Mangement</t>
  </si>
  <si>
    <t>Data Science</t>
  </si>
  <si>
    <t>91-6666666666</t>
  </si>
  <si>
    <t>First name</t>
  </si>
  <si>
    <t>Last name</t>
  </si>
  <si>
    <t>It Department</t>
  </si>
  <si>
    <t>It Devlopement</t>
  </si>
  <si>
    <t>Operaryion</t>
  </si>
  <si>
    <t>John</t>
  </si>
  <si>
    <t>Jane</t>
  </si>
  <si>
    <t>Amit</t>
  </si>
  <si>
    <t>Priya</t>
  </si>
  <si>
    <t>Rakesh</t>
  </si>
  <si>
    <t>Aman</t>
  </si>
  <si>
    <t>Neha</t>
  </si>
  <si>
    <t>Naveen</t>
  </si>
  <si>
    <t>Vinita</t>
  </si>
  <si>
    <t>Rajeev</t>
  </si>
  <si>
    <t>Swati</t>
  </si>
  <si>
    <t>Kavita</t>
  </si>
  <si>
    <t>Manish</t>
  </si>
  <si>
    <t>Priyanka</t>
  </si>
  <si>
    <t>Rohit</t>
  </si>
  <si>
    <t>Deepika</t>
  </si>
  <si>
    <t>Vikas</t>
  </si>
  <si>
    <t>Nisha</t>
  </si>
  <si>
    <t>Manoj</t>
  </si>
  <si>
    <t>Sanjay</t>
  </si>
  <si>
    <t>Anjali</t>
  </si>
  <si>
    <t>Akash</t>
  </si>
  <si>
    <t>Preeti</t>
  </si>
  <si>
    <t>Ravi</t>
  </si>
  <si>
    <t>Ankit</t>
  </si>
  <si>
    <t>Sarika</t>
  </si>
  <si>
    <t>Vinay</t>
  </si>
  <si>
    <t>Sushant</t>
  </si>
  <si>
    <t>Payal</t>
  </si>
  <si>
    <t>Mohit</t>
  </si>
  <si>
    <t>Pooja</t>
  </si>
  <si>
    <t>Mohan</t>
  </si>
  <si>
    <t>Mukesh</t>
  </si>
  <si>
    <t>Arjun</t>
  </si>
  <si>
    <t>Divya</t>
  </si>
  <si>
    <t>Gaurav</t>
  </si>
  <si>
    <t>Aditi</t>
  </si>
  <si>
    <t>Sandeep</t>
  </si>
  <si>
    <t>Shalini</t>
  </si>
  <si>
    <t>Doe</t>
  </si>
  <si>
    <t>Smith</t>
  </si>
  <si>
    <t>Patel</t>
  </si>
  <si>
    <t>Sharma</t>
  </si>
  <si>
    <t>Kumar</t>
  </si>
  <si>
    <t>Verma</t>
  </si>
  <si>
    <t>Gupta</t>
  </si>
  <si>
    <t>Kapoor</t>
  </si>
  <si>
    <t>Singh</t>
  </si>
  <si>
    <t>Jain</t>
  </si>
  <si>
    <t>Joshi</t>
  </si>
  <si>
    <t>Mishra</t>
  </si>
  <si>
    <t>Shah</t>
  </si>
  <si>
    <t>Address Not available</t>
  </si>
  <si>
    <t>91-7777777777</t>
  </si>
  <si>
    <t>91-8888888888</t>
  </si>
  <si>
    <t>support@dataisgood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</si>
</sst>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5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164" fontId="0" fillId="0" borderId="0" xfId="1" applyNumberFormat="1" applyFont="1" applyAlignment="1"/>
  </cellXfs>
  <cellStyles count="2">
    <cellStyle name="Comma" xfId="1" builtinId="3"/>
    <cellStyle name="Normal" xfId="0" builtinId="0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theme="1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  <xdr:twoCellAnchor editAs="absolute">
    <xdr:from>
      <xdr:col>14</xdr:col>
      <xdr:colOff>135617</xdr:colOff>
      <xdr:row>6</xdr:row>
      <xdr:rowOff>100939</xdr:rowOff>
    </xdr:from>
    <xdr:to>
      <xdr:col>16</xdr:col>
      <xdr:colOff>351967</xdr:colOff>
      <xdr:row>9</xdr:row>
      <xdr:rowOff>100938</xdr:rowOff>
    </xdr:to>
    <xdr:sp macro="[0]!filter10" textlink="">
      <xdr:nvSpPr>
        <xdr:cNvPr id="15" name="Rectangle 14">
          <a:extLst>
            <a:ext uri="{FF2B5EF4-FFF2-40B4-BE49-F238E27FC236}">
              <a16:creationId xmlns:a16="http://schemas.microsoft.com/office/drawing/2014/main" id="{1C6022C4-09D0-4DEB-AD18-DAB31207402B}"/>
            </a:ext>
          </a:extLst>
        </xdr:cNvPr>
        <xdr:cNvSpPr/>
      </xdr:nvSpPr>
      <xdr:spPr>
        <a:xfrm>
          <a:off x="18001204" y="1194243"/>
          <a:ext cx="1690654" cy="546652"/>
        </a:xfrm>
        <a:prstGeom prst="rect">
          <a:avLst/>
        </a:prstGeom>
        <a:solidFill>
          <a:schemeClr val="accent6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chemeClr val="bg1"/>
              </a:solidFill>
            </a:rPr>
            <a:t>Top 10</a:t>
          </a:r>
        </a:p>
        <a:p>
          <a:pPr algn="l"/>
          <a:r>
            <a:rPr lang="en-US" sz="1400" b="1">
              <a:solidFill>
                <a:schemeClr val="bg1"/>
              </a:solidFill>
            </a:rPr>
            <a:t>Based on salary</a:t>
          </a:r>
        </a:p>
      </xdr:txBody>
    </xdr:sp>
    <xdr:clientData/>
  </xdr:twoCellAnchor>
  <xdr:twoCellAnchor editAs="absolute">
    <xdr:from>
      <xdr:col>14</xdr:col>
      <xdr:colOff>215348</xdr:colOff>
      <xdr:row>11</xdr:row>
      <xdr:rowOff>82826</xdr:rowOff>
    </xdr:from>
    <xdr:to>
      <xdr:col>16</xdr:col>
      <xdr:colOff>256762</xdr:colOff>
      <xdr:row>13</xdr:row>
      <xdr:rowOff>132520</xdr:rowOff>
    </xdr:to>
    <xdr:sp macro="[0]!clear1" textlink="">
      <xdr:nvSpPr>
        <xdr:cNvPr id="16" name="Rectangle 15">
          <a:extLst>
            <a:ext uri="{FF2B5EF4-FFF2-40B4-BE49-F238E27FC236}">
              <a16:creationId xmlns:a16="http://schemas.microsoft.com/office/drawing/2014/main" id="{6D1317E4-CC31-4287-A3CE-06C163C02140}"/>
            </a:ext>
          </a:extLst>
        </xdr:cNvPr>
        <xdr:cNvSpPr/>
      </xdr:nvSpPr>
      <xdr:spPr>
        <a:xfrm>
          <a:off x="18080935" y="2087217"/>
          <a:ext cx="1515718" cy="414129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indent="0" algn="ctr"/>
          <a:r>
            <a:rPr lang="en-US" sz="1300" b="1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Clear Filter</a:t>
          </a:r>
          <a:endParaRPr lang="en-US" sz="1300" b="1" baseline="0">
            <a:solidFill>
              <a:schemeClr val="lt1">
                <a:lumMod val="100000"/>
              </a:schemeClr>
            </a:solidFill>
            <a:latin typeface="+mn-lt"/>
            <a:ea typeface="+mn-ea"/>
            <a:cs typeface="+mn-cs"/>
          </a:endParaRPr>
        </a:p>
        <a:p>
          <a:pPr indent="0" algn="l"/>
          <a:endParaRPr lang="en-US" sz="1300" baseline="0">
            <a:solidFill>
              <a:schemeClr val="lt1">
                <a:lumMod val="100000"/>
              </a:schemeClr>
            </a:solidFill>
            <a:latin typeface="+mn-lt"/>
            <a:ea typeface="+mn-ea"/>
            <a:cs typeface="+mn-cs"/>
          </a:endParaRPr>
        </a:p>
        <a:p>
          <a:pPr indent="0" algn="l"/>
          <a:endParaRPr lang="en-US" sz="1300">
            <a:solidFill>
              <a:schemeClr val="lt1">
                <a:lumMod val="100000"/>
              </a:schemeClr>
            </a:solidFill>
            <a:latin typeface="+mn-lt"/>
            <a:ea typeface="+mn-ea"/>
            <a:cs typeface="+mn-cs"/>
          </a:endParaRPr>
        </a:p>
        <a:p>
          <a:pPr algn="l"/>
          <a:endParaRPr lang="en-US" sz="1300"/>
        </a:p>
        <a:p>
          <a:pPr algn="l"/>
          <a:endParaRPr lang="en-US" sz="1300"/>
        </a:p>
      </xdr:txBody>
    </xdr:sp>
    <xdr:clientData/>
  </xdr:twoCellAnchor>
  <xdr:twoCellAnchor editAs="absolute">
    <xdr:from>
      <xdr:col>14</xdr:col>
      <xdr:colOff>157370</xdr:colOff>
      <xdr:row>14</xdr:row>
      <xdr:rowOff>115956</xdr:rowOff>
    </xdr:from>
    <xdr:to>
      <xdr:col>16</xdr:col>
      <xdr:colOff>356153</xdr:colOff>
      <xdr:row>17</xdr:row>
      <xdr:rowOff>182216</xdr:rowOff>
    </xdr:to>
    <xdr:sp macro="[0]!filter5" textlink="">
      <xdr:nvSpPr>
        <xdr:cNvPr id="4" name="Rectangle 3">
          <a:extLst>
            <a:ext uri="{FF2B5EF4-FFF2-40B4-BE49-F238E27FC236}">
              <a16:creationId xmlns:a16="http://schemas.microsoft.com/office/drawing/2014/main" id="{B1FA2165-39BA-49B8-88CF-131D30183BBE}"/>
            </a:ext>
          </a:extLst>
        </xdr:cNvPr>
        <xdr:cNvSpPr/>
      </xdr:nvSpPr>
      <xdr:spPr>
        <a:xfrm>
          <a:off x="18022957" y="2666999"/>
          <a:ext cx="1673087" cy="612913"/>
        </a:xfrm>
        <a:prstGeom prst="rect">
          <a:avLst/>
        </a:prstGeom>
        <a:solidFill>
          <a:schemeClr val="accent6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/>
            <a:t>Top</a:t>
          </a:r>
          <a:r>
            <a:rPr lang="en-US" sz="1400" b="1" baseline="0"/>
            <a:t> 5</a:t>
          </a:r>
        </a:p>
        <a:p>
          <a:pPr algn="l"/>
          <a:r>
            <a:rPr lang="en-US" sz="1400" b="1" baseline="0"/>
            <a:t>Based on salary</a:t>
          </a:r>
          <a:endParaRPr lang="en-US" sz="14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N54" totalsRowShown="0" headerRowDxfId="21" dataDxfId="20">
  <autoFilter ref="E7:N54" xr:uid="{571E5664-3A18-422E-AB49-8BBF00D55019}"/>
  <tableColumns count="10">
    <tableColumn id="1" xr3:uid="{0F186AC9-7116-4750-8350-32E39657BDEF}" name="Id" dataDxfId="19" totalsRowDxfId="18">
      <calculatedColumnFormula>ROWS($E$8:Table1[[#This Row],[Id]])</calculatedColumnFormula>
    </tableColumn>
    <tableColumn id="11" xr3:uid="{23E0FA16-8D69-4663-B72C-472A80CD11D0}" name="First name" dataDxfId="17" totalsRowDxfId="16"/>
    <tableColumn id="12" xr3:uid="{F42A76C8-1384-4AF1-8E82-B2EBA08AEC50}" name="Last name" dataDxfId="15" totalsRowDxfId="14"/>
    <tableColumn id="3" xr3:uid="{D20B21E4-141B-4F80-B509-FFFDBDDDD7F4}" name="Age" dataDxfId="13" totalsRowDxfId="12"/>
    <tableColumn id="4" xr3:uid="{988050FD-7A13-4567-B7F1-B83DFF6C50D6}" name="Gender" dataDxfId="11" totalsRowDxfId="10"/>
    <tableColumn id="5" xr3:uid="{71DD8E56-AB70-41BA-BE06-62EA46C80DEC}" name="Department" dataDxfId="9" totalsRowDxfId="8"/>
    <tableColumn id="6" xr3:uid="{C20650CA-3DDE-4C63-83CA-462380F46BB4}" name="Email" dataDxfId="7" totalsRowDxfId="6"/>
    <tableColumn id="7" xr3:uid="{9F3F4B7E-0B29-4F47-944B-C89BC5596DA2}" name="Phone" dataDxfId="5" totalsRowDxfId="4"/>
    <tableColumn id="8" xr3:uid="{9894F713-829B-4BE3-B5D2-22F23DA72823}" name="Address" dataDxfId="3" totalsRowDxfId="2"/>
    <tableColumn id="9" xr3:uid="{69CDA7D3-FED4-49AB-9173-918B9E817F84}" name="Salary" dataDxfId="1" totalsRowDxfId="0" dataCellStyle="Comma" totalsRowCellStyle="Comma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sheetPr codeName="Sheet1"/>
  <dimension ref="E7:N54"/>
  <sheetViews>
    <sheetView showGridLines="0" tabSelected="1" topLeftCell="J1" zoomScale="92" zoomScaleNormal="92" workbookViewId="0">
      <selection activeCell="N59" sqref="N59"/>
    </sheetView>
  </sheetViews>
  <sheetFormatPr defaultColWidth="10.77734375" defaultRowHeight="14.4" x14ac:dyDescent="0.3"/>
  <cols>
    <col min="5" max="5" width="7.77734375" customWidth="1"/>
    <col min="6" max="7" width="18.77734375" customWidth="1"/>
    <col min="8" max="8" width="10.77734375" customWidth="1"/>
    <col min="9" max="9" width="11.88671875" customWidth="1"/>
    <col min="10" max="10" width="25.77734375" customWidth="1"/>
    <col min="11" max="11" width="29.77734375" customWidth="1"/>
    <col min="12" max="12" width="25.77734375" customWidth="1"/>
    <col min="13" max="13" width="50.77734375" customWidth="1"/>
    <col min="14" max="14" width="17.77734375" customWidth="1"/>
  </cols>
  <sheetData>
    <row r="7" spans="5:14" x14ac:dyDescent="0.3">
      <c r="E7" s="2" t="s">
        <v>0</v>
      </c>
      <c r="F7" s="1" t="s">
        <v>108</v>
      </c>
      <c r="G7" s="1" t="s">
        <v>109</v>
      </c>
      <c r="H7" s="2" t="s">
        <v>1</v>
      </c>
      <c r="I7" s="1" t="s">
        <v>2</v>
      </c>
      <c r="J7" s="1" t="s">
        <v>100</v>
      </c>
      <c r="K7" s="1" t="s">
        <v>3</v>
      </c>
      <c r="L7" s="1" t="s">
        <v>4</v>
      </c>
      <c r="M7" s="1" t="s">
        <v>5</v>
      </c>
      <c r="N7" s="1" t="s">
        <v>94</v>
      </c>
    </row>
    <row r="8" spans="5:14" x14ac:dyDescent="0.3">
      <c r="E8" s="3">
        <f>ROWS($E$8:Table1[[#This Row],[Id]])</f>
        <v>1</v>
      </c>
      <c r="F8" t="s">
        <v>113</v>
      </c>
      <c r="G8" t="s">
        <v>152</v>
      </c>
      <c r="H8" s="3">
        <v>32</v>
      </c>
      <c r="I8" t="s">
        <v>6</v>
      </c>
      <c r="J8" t="s">
        <v>110</v>
      </c>
      <c r="K8" t="s">
        <v>24</v>
      </c>
      <c r="L8" t="s">
        <v>95</v>
      </c>
      <c r="M8" t="s">
        <v>25</v>
      </c>
      <c r="N8" s="4">
        <v>4553</v>
      </c>
    </row>
    <row r="9" spans="5:14" x14ac:dyDescent="0.3">
      <c r="E9" s="3">
        <f>ROWS($E$8:Table1[[#This Row],[Id]])</f>
        <v>2</v>
      </c>
      <c r="F9" t="s">
        <v>114</v>
      </c>
      <c r="G9" t="s">
        <v>153</v>
      </c>
      <c r="H9" s="3">
        <v>28</v>
      </c>
      <c r="I9" t="s">
        <v>9</v>
      </c>
      <c r="J9" t="s">
        <v>110</v>
      </c>
      <c r="K9" t="s">
        <v>26</v>
      </c>
      <c r="L9" t="s">
        <v>96</v>
      </c>
      <c r="M9" t="s">
        <v>27</v>
      </c>
      <c r="N9" s="4">
        <v>31169</v>
      </c>
    </row>
    <row r="10" spans="5:14" x14ac:dyDescent="0.3">
      <c r="E10" s="3">
        <f>ROWS($E$8:Table1[[#This Row],[Id]])</f>
        <v>3</v>
      </c>
      <c r="F10" t="s">
        <v>115</v>
      </c>
      <c r="G10" t="s">
        <v>154</v>
      </c>
      <c r="H10" s="3">
        <v>27</v>
      </c>
      <c r="I10" t="s">
        <v>6</v>
      </c>
      <c r="J10" t="s">
        <v>111</v>
      </c>
      <c r="K10" t="s">
        <v>28</v>
      </c>
      <c r="L10" t="s">
        <v>97</v>
      </c>
      <c r="M10" t="s">
        <v>29</v>
      </c>
      <c r="N10" s="4">
        <v>11116</v>
      </c>
    </row>
    <row r="11" spans="5:14" x14ac:dyDescent="0.3">
      <c r="E11" s="3">
        <f>ROWS($E$8:Table1[[#This Row],[Id]])</f>
        <v>4</v>
      </c>
      <c r="F11" t="s">
        <v>116</v>
      </c>
      <c r="G11" t="s">
        <v>155</v>
      </c>
      <c r="H11" s="3">
        <v>33</v>
      </c>
      <c r="I11" t="s">
        <v>9</v>
      </c>
      <c r="J11" t="s">
        <v>103</v>
      </c>
      <c r="K11" t="s">
        <v>30</v>
      </c>
      <c r="L11" t="s">
        <v>98</v>
      </c>
      <c r="M11" t="s">
        <v>31</v>
      </c>
      <c r="N11" s="4">
        <v>33457</v>
      </c>
    </row>
    <row r="12" spans="5:14" x14ac:dyDescent="0.3">
      <c r="E12" s="3">
        <f>ROWS($E$8:Table1[[#This Row],[Id]])</f>
        <v>5</v>
      </c>
      <c r="F12" t="s">
        <v>114</v>
      </c>
      <c r="G12" t="s">
        <v>152</v>
      </c>
      <c r="H12" s="3">
        <v>29</v>
      </c>
      <c r="I12" t="s">
        <v>9</v>
      </c>
      <c r="J12" t="s">
        <v>103</v>
      </c>
      <c r="K12" t="s">
        <v>32</v>
      </c>
      <c r="L12" t="s">
        <v>168</v>
      </c>
      <c r="M12" t="s">
        <v>165</v>
      </c>
      <c r="N12" s="4">
        <v>21918</v>
      </c>
    </row>
    <row r="13" spans="5:14" x14ac:dyDescent="0.3">
      <c r="E13" s="3">
        <f>ROWS($E$8:Table1[[#This Row],[Id]])</f>
        <v>6</v>
      </c>
      <c r="F13" t="s">
        <v>117</v>
      </c>
      <c r="G13" t="s">
        <v>156</v>
      </c>
      <c r="H13" s="3">
        <v>34</v>
      </c>
      <c r="I13" t="s">
        <v>6</v>
      </c>
      <c r="J13" t="s">
        <v>106</v>
      </c>
      <c r="K13" t="s">
        <v>33</v>
      </c>
      <c r="L13" t="s">
        <v>168</v>
      </c>
      <c r="M13" t="s">
        <v>34</v>
      </c>
      <c r="N13" s="4">
        <v>33418</v>
      </c>
    </row>
    <row r="14" spans="5:14" x14ac:dyDescent="0.3">
      <c r="E14" s="3">
        <f>ROWS($E$8:Table1[[#This Row],[Id]])</f>
        <v>7</v>
      </c>
      <c r="F14" t="s">
        <v>118</v>
      </c>
      <c r="G14" t="s">
        <v>157</v>
      </c>
      <c r="H14" s="3">
        <v>31</v>
      </c>
      <c r="I14" t="s">
        <v>6</v>
      </c>
      <c r="J14" t="s">
        <v>103</v>
      </c>
      <c r="K14" t="s">
        <v>35</v>
      </c>
      <c r="L14" t="s">
        <v>168</v>
      </c>
      <c r="M14" t="s">
        <v>165</v>
      </c>
      <c r="N14" s="4">
        <v>45450</v>
      </c>
    </row>
    <row r="15" spans="5:14" x14ac:dyDescent="0.3">
      <c r="E15" s="3">
        <f>ROWS($E$8:Table1[[#This Row],[Id]])</f>
        <v>8</v>
      </c>
      <c r="F15" t="s">
        <v>119</v>
      </c>
      <c r="G15" t="s">
        <v>158</v>
      </c>
      <c r="H15" s="3">
        <v>27</v>
      </c>
      <c r="I15" t="s">
        <v>9</v>
      </c>
      <c r="J15" t="s">
        <v>103</v>
      </c>
      <c r="K15" t="s">
        <v>36</v>
      </c>
      <c r="L15" t="s">
        <v>166</v>
      </c>
      <c r="M15" t="s">
        <v>37</v>
      </c>
      <c r="N15" s="4">
        <v>49938</v>
      </c>
    </row>
    <row r="16" spans="5:14" x14ac:dyDescent="0.3">
      <c r="E16" s="3">
        <f>ROWS($E$8:Table1[[#This Row],[Id]])</f>
        <v>9</v>
      </c>
      <c r="F16" t="s">
        <v>120</v>
      </c>
      <c r="G16" t="s">
        <v>155</v>
      </c>
      <c r="H16" s="3">
        <v>35</v>
      </c>
      <c r="I16" t="s">
        <v>6</v>
      </c>
      <c r="J16" t="s">
        <v>102</v>
      </c>
      <c r="K16" t="s">
        <v>38</v>
      </c>
      <c r="L16" t="s">
        <v>168</v>
      </c>
      <c r="M16" t="s">
        <v>39</v>
      </c>
      <c r="N16" s="4">
        <v>9818</v>
      </c>
    </row>
    <row r="17" spans="5:14" x14ac:dyDescent="0.3">
      <c r="E17" s="3">
        <f>ROWS($E$8:Table1[[#This Row],[Id]])</f>
        <v>10</v>
      </c>
      <c r="F17" t="s">
        <v>121</v>
      </c>
      <c r="G17" t="s">
        <v>159</v>
      </c>
      <c r="H17" s="3">
        <v>30</v>
      </c>
      <c r="I17" t="s">
        <v>9</v>
      </c>
      <c r="J17" t="s">
        <v>110</v>
      </c>
      <c r="K17" t="s">
        <v>40</v>
      </c>
      <c r="L17" t="s">
        <v>107</v>
      </c>
      <c r="M17" t="s">
        <v>41</v>
      </c>
      <c r="N17" s="4">
        <v>41836</v>
      </c>
    </row>
    <row r="18" spans="5:14" x14ac:dyDescent="0.3">
      <c r="E18" s="3">
        <f>ROWS($E$8:Table1[[#This Row],[Id]])</f>
        <v>11</v>
      </c>
      <c r="F18" t="s">
        <v>122</v>
      </c>
      <c r="G18" t="s">
        <v>156</v>
      </c>
      <c r="H18" s="3">
        <v>29</v>
      </c>
      <c r="I18" t="s">
        <v>6</v>
      </c>
      <c r="J18" t="s">
        <v>110</v>
      </c>
      <c r="K18" t="s">
        <v>42</v>
      </c>
      <c r="L18" t="s">
        <v>168</v>
      </c>
      <c r="M18" t="s">
        <v>43</v>
      </c>
      <c r="N18" s="4">
        <v>11901</v>
      </c>
    </row>
    <row r="19" spans="5:14" x14ac:dyDescent="0.3">
      <c r="E19" s="3">
        <f>ROWS($E$8:Table1[[#This Row],[Id]])</f>
        <v>12</v>
      </c>
      <c r="F19" t="s">
        <v>123</v>
      </c>
      <c r="G19" t="s">
        <v>160</v>
      </c>
      <c r="H19" s="3">
        <v>28</v>
      </c>
      <c r="I19" t="s">
        <v>9</v>
      </c>
      <c r="J19" t="s">
        <v>101</v>
      </c>
      <c r="K19" t="s">
        <v>44</v>
      </c>
      <c r="L19" t="s">
        <v>168</v>
      </c>
      <c r="M19" t="s">
        <v>45</v>
      </c>
      <c r="N19" s="4">
        <v>21978</v>
      </c>
    </row>
    <row r="20" spans="5:14" x14ac:dyDescent="0.3">
      <c r="E20" s="3">
        <f>ROWS($E$8:Table1[[#This Row],[Id]])</f>
        <v>13</v>
      </c>
      <c r="F20" t="s">
        <v>124</v>
      </c>
      <c r="G20" t="s">
        <v>155</v>
      </c>
      <c r="H20" s="3">
        <v>30</v>
      </c>
      <c r="I20" t="s">
        <v>9</v>
      </c>
      <c r="J20" t="s">
        <v>104</v>
      </c>
      <c r="K20" t="s">
        <v>46</v>
      </c>
      <c r="L20" t="s">
        <v>167</v>
      </c>
      <c r="M20" t="s">
        <v>165</v>
      </c>
      <c r="N20" s="4">
        <v>49400</v>
      </c>
    </row>
    <row r="21" spans="5:14" x14ac:dyDescent="0.3">
      <c r="E21" s="3">
        <f>ROWS($E$8:Table1[[#This Row],[Id]])</f>
        <v>14</v>
      </c>
      <c r="F21" t="s">
        <v>125</v>
      </c>
      <c r="G21" t="s">
        <v>154</v>
      </c>
      <c r="H21" s="3">
        <v>32</v>
      </c>
      <c r="I21" t="s">
        <v>6</v>
      </c>
      <c r="J21" t="s">
        <v>105</v>
      </c>
      <c r="K21" t="s">
        <v>47</v>
      </c>
      <c r="L21" t="s">
        <v>95</v>
      </c>
      <c r="M21" t="s">
        <v>48</v>
      </c>
      <c r="N21" s="4">
        <v>28476</v>
      </c>
    </row>
    <row r="22" spans="5:14" x14ac:dyDescent="0.3">
      <c r="E22" s="3">
        <f>ROWS($E$8:Table1[[#This Row],[Id]])</f>
        <v>15</v>
      </c>
      <c r="F22" t="s">
        <v>126</v>
      </c>
      <c r="G22" t="s">
        <v>161</v>
      </c>
      <c r="H22" s="3">
        <v>26</v>
      </c>
      <c r="I22" t="s">
        <v>9</v>
      </c>
      <c r="J22" t="s">
        <v>106</v>
      </c>
      <c r="K22" t="s">
        <v>49</v>
      </c>
      <c r="L22" t="s">
        <v>97</v>
      </c>
      <c r="M22" t="s">
        <v>165</v>
      </c>
      <c r="N22" s="4">
        <v>40088</v>
      </c>
    </row>
    <row r="23" spans="5:14" x14ac:dyDescent="0.3">
      <c r="E23" s="3">
        <f>ROWS($E$8:Table1[[#This Row],[Id]])</f>
        <v>16</v>
      </c>
      <c r="F23" t="s">
        <v>127</v>
      </c>
      <c r="G23" t="s">
        <v>155</v>
      </c>
      <c r="H23" s="3">
        <v>28</v>
      </c>
      <c r="I23" t="s">
        <v>6</v>
      </c>
      <c r="J23" t="s">
        <v>106</v>
      </c>
      <c r="K23" t="s">
        <v>7</v>
      </c>
      <c r="L23" t="s">
        <v>96</v>
      </c>
      <c r="M23" t="s">
        <v>8</v>
      </c>
      <c r="N23" s="4">
        <v>2949</v>
      </c>
    </row>
    <row r="24" spans="5:14" x14ac:dyDescent="0.3">
      <c r="E24" s="3">
        <f>ROWS($E$8:Table1[[#This Row],[Id]])</f>
        <v>17</v>
      </c>
      <c r="F24" t="s">
        <v>128</v>
      </c>
      <c r="G24" t="s">
        <v>160</v>
      </c>
      <c r="H24" s="3">
        <v>30</v>
      </c>
      <c r="I24" t="s">
        <v>9</v>
      </c>
      <c r="J24" t="s">
        <v>106</v>
      </c>
      <c r="K24" t="s">
        <v>10</v>
      </c>
      <c r="L24" t="s">
        <v>98</v>
      </c>
      <c r="M24" t="s">
        <v>11</v>
      </c>
      <c r="N24" s="4">
        <v>3337</v>
      </c>
    </row>
    <row r="25" spans="5:14" x14ac:dyDescent="0.3">
      <c r="E25" s="3">
        <f>ROWS($E$8:Table1[[#This Row],[Id]])</f>
        <v>18</v>
      </c>
      <c r="F25" t="s">
        <v>129</v>
      </c>
      <c r="G25" t="s">
        <v>162</v>
      </c>
      <c r="H25" s="3">
        <v>32</v>
      </c>
      <c r="I25" t="s">
        <v>6</v>
      </c>
      <c r="J25" t="s">
        <v>104</v>
      </c>
      <c r="K25" t="s">
        <v>12</v>
      </c>
      <c r="L25" t="s">
        <v>99</v>
      </c>
      <c r="M25" t="s">
        <v>165</v>
      </c>
      <c r="N25" s="4">
        <v>2857</v>
      </c>
    </row>
    <row r="26" spans="5:14" x14ac:dyDescent="0.3">
      <c r="E26" s="3">
        <f>ROWS($E$8:Table1[[#This Row],[Id]])</f>
        <v>19</v>
      </c>
      <c r="F26" t="s">
        <v>130</v>
      </c>
      <c r="G26" t="s">
        <v>157</v>
      </c>
      <c r="H26" s="3">
        <v>26</v>
      </c>
      <c r="I26" t="s">
        <v>9</v>
      </c>
      <c r="J26" t="s">
        <v>105</v>
      </c>
      <c r="K26" t="s">
        <v>13</v>
      </c>
      <c r="L26" t="s">
        <v>168</v>
      </c>
      <c r="M26" t="s">
        <v>14</v>
      </c>
      <c r="N26" s="4">
        <v>35969</v>
      </c>
    </row>
    <row r="27" spans="5:14" x14ac:dyDescent="0.3">
      <c r="E27" s="3">
        <f>ROWS($E$8:Table1[[#This Row],[Id]])</f>
        <v>20</v>
      </c>
      <c r="F27" t="s">
        <v>131</v>
      </c>
      <c r="G27" t="s">
        <v>156</v>
      </c>
      <c r="H27" s="3">
        <v>33</v>
      </c>
      <c r="I27" t="s">
        <v>6</v>
      </c>
      <c r="J27" t="s">
        <v>106</v>
      </c>
      <c r="K27" t="s">
        <v>15</v>
      </c>
      <c r="L27" t="s">
        <v>167</v>
      </c>
      <c r="M27" t="s">
        <v>16</v>
      </c>
      <c r="N27" s="4">
        <v>49681</v>
      </c>
    </row>
    <row r="28" spans="5:14" x14ac:dyDescent="0.3">
      <c r="E28" s="3">
        <f>ROWS($E$8:Table1[[#This Row],[Id]])</f>
        <v>21</v>
      </c>
      <c r="F28" t="s">
        <v>132</v>
      </c>
      <c r="G28" t="s">
        <v>158</v>
      </c>
      <c r="H28" s="3">
        <v>29</v>
      </c>
      <c r="I28" t="s">
        <v>6</v>
      </c>
      <c r="J28" t="s">
        <v>102</v>
      </c>
      <c r="K28" t="s">
        <v>17</v>
      </c>
      <c r="L28" t="s">
        <v>107</v>
      </c>
      <c r="M28" t="s">
        <v>165</v>
      </c>
      <c r="N28" s="4">
        <v>15853</v>
      </c>
    </row>
    <row r="29" spans="5:14" x14ac:dyDescent="0.3">
      <c r="E29" s="3">
        <f>ROWS($E$8:Table1[[#This Row],[Id]])</f>
        <v>22</v>
      </c>
      <c r="F29" t="s">
        <v>133</v>
      </c>
      <c r="G29" t="s">
        <v>155</v>
      </c>
      <c r="H29" s="3">
        <v>30</v>
      </c>
      <c r="I29" t="s">
        <v>9</v>
      </c>
      <c r="J29" t="s">
        <v>110</v>
      </c>
      <c r="K29" t="s">
        <v>18</v>
      </c>
      <c r="L29" t="s">
        <v>98</v>
      </c>
      <c r="M29" t="s">
        <v>19</v>
      </c>
      <c r="N29" s="4">
        <v>6926</v>
      </c>
    </row>
    <row r="30" spans="5:14" x14ac:dyDescent="0.3">
      <c r="E30" s="3">
        <f>ROWS($E$8:Table1[[#This Row],[Id]])</f>
        <v>23</v>
      </c>
      <c r="F30" t="s">
        <v>134</v>
      </c>
      <c r="G30" t="s">
        <v>154</v>
      </c>
      <c r="H30" s="3">
        <v>31</v>
      </c>
      <c r="I30" t="s">
        <v>6</v>
      </c>
      <c r="J30" t="s">
        <v>104</v>
      </c>
      <c r="K30" t="s">
        <v>20</v>
      </c>
      <c r="L30" t="s">
        <v>168</v>
      </c>
      <c r="M30" t="s">
        <v>21</v>
      </c>
      <c r="N30" s="4">
        <v>45678</v>
      </c>
    </row>
    <row r="31" spans="5:14" x14ac:dyDescent="0.3">
      <c r="E31" s="3">
        <f>ROWS($E$8:Table1[[#This Row],[Id]])</f>
        <v>24</v>
      </c>
      <c r="F31" t="s">
        <v>135</v>
      </c>
      <c r="G31" t="s">
        <v>160</v>
      </c>
      <c r="H31" s="3">
        <v>28</v>
      </c>
      <c r="I31" t="s">
        <v>9</v>
      </c>
      <c r="J31" t="s">
        <v>105</v>
      </c>
      <c r="K31" t="s">
        <v>22</v>
      </c>
      <c r="L31" t="s">
        <v>166</v>
      </c>
      <c r="M31" t="s">
        <v>23</v>
      </c>
      <c r="N31" s="4">
        <v>8022</v>
      </c>
    </row>
    <row r="32" spans="5:14" x14ac:dyDescent="0.3">
      <c r="E32" s="3">
        <f>ROWS($E$8:Table1[[#This Row],[Id]])</f>
        <v>25</v>
      </c>
      <c r="F32" t="s">
        <v>136</v>
      </c>
      <c r="G32" t="s">
        <v>156</v>
      </c>
      <c r="H32" s="3">
        <v>34</v>
      </c>
      <c r="I32" t="s">
        <v>6</v>
      </c>
      <c r="J32" t="s">
        <v>106</v>
      </c>
      <c r="K32" t="s">
        <v>50</v>
      </c>
      <c r="L32" t="s">
        <v>167</v>
      </c>
      <c r="M32" t="s">
        <v>51</v>
      </c>
      <c r="N32" s="4">
        <v>3484</v>
      </c>
    </row>
    <row r="33" spans="5:14" x14ac:dyDescent="0.3">
      <c r="E33" s="3">
        <f>ROWS($E$8:Table1[[#This Row],[Id]])</f>
        <v>26</v>
      </c>
      <c r="F33" t="s">
        <v>123</v>
      </c>
      <c r="G33" t="s">
        <v>163</v>
      </c>
      <c r="H33" s="3">
        <v>26</v>
      </c>
      <c r="I33" t="s">
        <v>9</v>
      </c>
      <c r="J33" t="s">
        <v>111</v>
      </c>
      <c r="K33" t="s">
        <v>52</v>
      </c>
      <c r="L33" t="s">
        <v>166</v>
      </c>
      <c r="M33" t="s">
        <v>53</v>
      </c>
      <c r="N33" s="4">
        <v>11342</v>
      </c>
    </row>
    <row r="34" spans="5:14" x14ac:dyDescent="0.3">
      <c r="E34" s="3">
        <f>ROWS($E$8:Table1[[#This Row],[Id]])</f>
        <v>27</v>
      </c>
      <c r="F34" t="s">
        <v>137</v>
      </c>
      <c r="G34" t="s">
        <v>160</v>
      </c>
      <c r="H34" s="3">
        <v>29</v>
      </c>
      <c r="I34" t="s">
        <v>6</v>
      </c>
      <c r="J34" t="s">
        <v>103</v>
      </c>
      <c r="K34" t="s">
        <v>54</v>
      </c>
      <c r="L34" t="s">
        <v>168</v>
      </c>
      <c r="M34" t="s">
        <v>55</v>
      </c>
      <c r="N34" s="4">
        <v>40940</v>
      </c>
    </row>
    <row r="35" spans="5:14" x14ac:dyDescent="0.3">
      <c r="E35" s="3">
        <f>ROWS($E$8:Table1[[#This Row],[Id]])</f>
        <v>28</v>
      </c>
      <c r="F35" t="s">
        <v>119</v>
      </c>
      <c r="G35" t="s">
        <v>158</v>
      </c>
      <c r="H35" s="3">
        <v>27</v>
      </c>
      <c r="I35" t="s">
        <v>9</v>
      </c>
      <c r="J35" t="s">
        <v>103</v>
      </c>
      <c r="K35" t="s">
        <v>56</v>
      </c>
      <c r="L35" t="s">
        <v>98</v>
      </c>
      <c r="M35" t="s">
        <v>165</v>
      </c>
      <c r="N35" s="4">
        <v>41841</v>
      </c>
    </row>
    <row r="36" spans="5:14" x14ac:dyDescent="0.3">
      <c r="E36" s="3">
        <f>ROWS($E$8:Table1[[#This Row],[Id]])</f>
        <v>29</v>
      </c>
      <c r="F36" t="s">
        <v>122</v>
      </c>
      <c r="G36" t="s">
        <v>155</v>
      </c>
      <c r="H36" s="3">
        <v>32</v>
      </c>
      <c r="I36" t="s">
        <v>6</v>
      </c>
      <c r="J36" t="s">
        <v>104</v>
      </c>
      <c r="K36" t="s">
        <v>57</v>
      </c>
      <c r="L36" t="s">
        <v>168</v>
      </c>
      <c r="M36" t="s">
        <v>58</v>
      </c>
      <c r="N36" s="4">
        <v>39835</v>
      </c>
    </row>
    <row r="37" spans="5:14" x14ac:dyDescent="0.3">
      <c r="E37" s="3">
        <f>ROWS($E$8:Table1[[#This Row],[Id]])</f>
        <v>30</v>
      </c>
      <c r="F37" t="s">
        <v>138</v>
      </c>
      <c r="G37" t="s">
        <v>154</v>
      </c>
      <c r="H37" s="3">
        <v>33</v>
      </c>
      <c r="I37" t="s">
        <v>9</v>
      </c>
      <c r="J37" t="s">
        <v>105</v>
      </c>
      <c r="K37" t="s">
        <v>59</v>
      </c>
      <c r="L37" t="s">
        <v>107</v>
      </c>
      <c r="M37" t="s">
        <v>60</v>
      </c>
      <c r="N37" s="4">
        <v>9577</v>
      </c>
    </row>
    <row r="38" spans="5:14" x14ac:dyDescent="0.3">
      <c r="E38" s="3">
        <f>ROWS($E$8:Table1[[#This Row],[Id]])</f>
        <v>31</v>
      </c>
      <c r="F38" t="s">
        <v>139</v>
      </c>
      <c r="G38" t="s">
        <v>160</v>
      </c>
      <c r="H38" s="3">
        <v>30</v>
      </c>
      <c r="I38" t="s">
        <v>6</v>
      </c>
      <c r="J38" t="s">
        <v>106</v>
      </c>
      <c r="K38" t="s">
        <v>61</v>
      </c>
      <c r="L38" t="s">
        <v>168</v>
      </c>
      <c r="M38" t="s">
        <v>62</v>
      </c>
      <c r="N38" s="4">
        <v>29480</v>
      </c>
    </row>
    <row r="39" spans="5:14" x14ac:dyDescent="0.3">
      <c r="E39" s="3">
        <f>ROWS($E$8:Table1[[#This Row],[Id]])</f>
        <v>32</v>
      </c>
      <c r="F39" t="s">
        <v>116</v>
      </c>
      <c r="G39" t="s">
        <v>158</v>
      </c>
      <c r="H39" s="3">
        <v>30</v>
      </c>
      <c r="I39" t="s">
        <v>9</v>
      </c>
      <c r="J39" t="s">
        <v>111</v>
      </c>
      <c r="K39" t="s">
        <v>63</v>
      </c>
      <c r="L39" t="s">
        <v>98</v>
      </c>
      <c r="M39" t="s">
        <v>64</v>
      </c>
      <c r="N39" s="4">
        <v>14254</v>
      </c>
    </row>
    <row r="40" spans="5:14" x14ac:dyDescent="0.3">
      <c r="E40" s="3">
        <f>ROWS($E$8:Table1[[#This Row],[Id]])</f>
        <v>33</v>
      </c>
      <c r="F40" t="s">
        <v>140</v>
      </c>
      <c r="G40" t="s">
        <v>154</v>
      </c>
      <c r="H40" s="3">
        <v>29</v>
      </c>
      <c r="I40" t="s">
        <v>6</v>
      </c>
      <c r="J40" t="s">
        <v>103</v>
      </c>
      <c r="K40" t="s">
        <v>65</v>
      </c>
      <c r="L40" t="s">
        <v>166</v>
      </c>
      <c r="M40" t="s">
        <v>66</v>
      </c>
      <c r="N40" s="4">
        <v>37358</v>
      </c>
    </row>
    <row r="41" spans="5:14" x14ac:dyDescent="0.3">
      <c r="E41" s="3">
        <f>ROWS($E$8:Table1[[#This Row],[Id]])</f>
        <v>34</v>
      </c>
      <c r="F41" t="s">
        <v>141</v>
      </c>
      <c r="G41" t="s">
        <v>155</v>
      </c>
      <c r="H41" s="3">
        <v>31</v>
      </c>
      <c r="I41" t="s">
        <v>9</v>
      </c>
      <c r="J41" t="s">
        <v>103</v>
      </c>
      <c r="K41" t="s">
        <v>67</v>
      </c>
      <c r="L41" t="s">
        <v>168</v>
      </c>
      <c r="M41" t="s">
        <v>68</v>
      </c>
      <c r="N41" s="4">
        <v>48367</v>
      </c>
    </row>
    <row r="42" spans="5:14" x14ac:dyDescent="0.3">
      <c r="E42" s="3">
        <f>ROWS($E$8:Table1[[#This Row],[Id]])</f>
        <v>35</v>
      </c>
      <c r="F42" t="s">
        <v>142</v>
      </c>
      <c r="G42" t="s">
        <v>157</v>
      </c>
      <c r="H42" s="3">
        <v>28</v>
      </c>
      <c r="I42" t="s">
        <v>6</v>
      </c>
      <c r="J42" t="s">
        <v>101</v>
      </c>
      <c r="K42" t="s">
        <v>69</v>
      </c>
      <c r="L42" t="s">
        <v>167</v>
      </c>
      <c r="M42" t="s">
        <v>70</v>
      </c>
      <c r="N42" s="4">
        <v>37473</v>
      </c>
    </row>
    <row r="43" spans="5:14" x14ac:dyDescent="0.3">
      <c r="E43" s="3">
        <f>ROWS($E$8:Table1[[#This Row],[Id]])</f>
        <v>36</v>
      </c>
      <c r="F43" t="s">
        <v>124</v>
      </c>
      <c r="G43" t="s">
        <v>160</v>
      </c>
      <c r="H43" s="3">
        <v>33</v>
      </c>
      <c r="I43" t="s">
        <v>9</v>
      </c>
      <c r="J43" t="s">
        <v>101</v>
      </c>
      <c r="K43" t="s">
        <v>71</v>
      </c>
      <c r="L43" t="s">
        <v>99</v>
      </c>
      <c r="M43" t="s">
        <v>72</v>
      </c>
      <c r="N43" s="4">
        <v>30628</v>
      </c>
    </row>
    <row r="44" spans="5:14" x14ac:dyDescent="0.3">
      <c r="E44" s="3">
        <f>ROWS($E$8:Table1[[#This Row],[Id]])</f>
        <v>37</v>
      </c>
      <c r="F44" t="s">
        <v>137</v>
      </c>
      <c r="G44" t="s">
        <v>154</v>
      </c>
      <c r="H44" s="3">
        <v>30</v>
      </c>
      <c r="I44" t="s">
        <v>6</v>
      </c>
      <c r="J44" t="s">
        <v>112</v>
      </c>
      <c r="K44" t="s">
        <v>73</v>
      </c>
      <c r="L44" t="s">
        <v>168</v>
      </c>
      <c r="M44" t="s">
        <v>74</v>
      </c>
      <c r="N44" s="4">
        <v>22018</v>
      </c>
    </row>
    <row r="45" spans="5:14" x14ac:dyDescent="0.3">
      <c r="E45" s="3">
        <f>ROWS($E$8:Table1[[#This Row],[Id]])</f>
        <v>38</v>
      </c>
      <c r="F45" t="s">
        <v>143</v>
      </c>
      <c r="G45" t="s">
        <v>163</v>
      </c>
      <c r="H45" s="3">
        <v>27</v>
      </c>
      <c r="I45" t="s">
        <v>9</v>
      </c>
      <c r="J45" t="s">
        <v>106</v>
      </c>
      <c r="K45" t="s">
        <v>75</v>
      </c>
      <c r="L45" t="s">
        <v>166</v>
      </c>
      <c r="M45" t="s">
        <v>76</v>
      </c>
      <c r="N45" s="4">
        <v>35747</v>
      </c>
    </row>
    <row r="46" spans="5:14" x14ac:dyDescent="0.3">
      <c r="E46" s="3">
        <f>ROWS($E$8:Table1[[#This Row],[Id]])</f>
        <v>39</v>
      </c>
      <c r="F46" t="s">
        <v>144</v>
      </c>
      <c r="G46" t="s">
        <v>156</v>
      </c>
      <c r="H46" s="3">
        <v>29</v>
      </c>
      <c r="I46" t="s">
        <v>6</v>
      </c>
      <c r="J46" t="s">
        <v>103</v>
      </c>
      <c r="K46" t="s">
        <v>77</v>
      </c>
      <c r="L46" t="s">
        <v>168</v>
      </c>
      <c r="M46" t="s">
        <v>78</v>
      </c>
      <c r="N46" s="4">
        <v>32258</v>
      </c>
    </row>
    <row r="47" spans="5:14" x14ac:dyDescent="0.3">
      <c r="E47" s="3">
        <f>ROWS($E$8:Table1[[#This Row],[Id]])</f>
        <v>40</v>
      </c>
      <c r="F47" t="s">
        <v>133</v>
      </c>
      <c r="G47" t="s">
        <v>158</v>
      </c>
      <c r="H47" s="3">
        <v>26</v>
      </c>
      <c r="I47" t="s">
        <v>9</v>
      </c>
      <c r="J47" t="s">
        <v>104</v>
      </c>
      <c r="K47" t="s">
        <v>79</v>
      </c>
      <c r="L47" t="s">
        <v>98</v>
      </c>
      <c r="M47" t="s">
        <v>80</v>
      </c>
      <c r="N47" s="4">
        <v>31047</v>
      </c>
    </row>
    <row r="48" spans="5:14" x14ac:dyDescent="0.3">
      <c r="E48" s="3">
        <f>ROWS($E$8:Table1[[#This Row],[Id]])</f>
        <v>41</v>
      </c>
      <c r="F48" t="s">
        <v>145</v>
      </c>
      <c r="G48" t="s">
        <v>155</v>
      </c>
      <c r="H48" s="3">
        <v>28</v>
      </c>
      <c r="I48" t="s">
        <v>6</v>
      </c>
      <c r="J48" t="s">
        <v>105</v>
      </c>
      <c r="K48" t="s">
        <v>81</v>
      </c>
      <c r="L48" t="s">
        <v>168</v>
      </c>
      <c r="M48" t="s">
        <v>82</v>
      </c>
      <c r="N48" s="4">
        <v>31064</v>
      </c>
    </row>
    <row r="49" spans="5:14" x14ac:dyDescent="0.3">
      <c r="E49" s="3">
        <f>ROWS($E$8:Table1[[#This Row],[Id]])</f>
        <v>42</v>
      </c>
      <c r="F49" t="s">
        <v>146</v>
      </c>
      <c r="G49" t="s">
        <v>160</v>
      </c>
      <c r="H49" s="3">
        <v>31</v>
      </c>
      <c r="I49" t="s">
        <v>6</v>
      </c>
      <c r="J49" t="s">
        <v>106</v>
      </c>
      <c r="K49" t="s">
        <v>83</v>
      </c>
      <c r="L49" t="s">
        <v>167</v>
      </c>
      <c r="M49" t="s">
        <v>165</v>
      </c>
      <c r="N49" s="4">
        <v>3108</v>
      </c>
    </row>
    <row r="50" spans="5:14" x14ac:dyDescent="0.3">
      <c r="E50" s="3">
        <f>ROWS($E$8:Table1[[#This Row],[Id]])</f>
        <v>43</v>
      </c>
      <c r="F50" t="s">
        <v>147</v>
      </c>
      <c r="G50" t="s">
        <v>154</v>
      </c>
      <c r="H50" s="3">
        <v>27</v>
      </c>
      <c r="I50" t="s">
        <v>9</v>
      </c>
      <c r="J50" t="s">
        <v>101</v>
      </c>
      <c r="K50" t="s">
        <v>84</v>
      </c>
      <c r="L50" t="s">
        <v>166</v>
      </c>
      <c r="M50" t="s">
        <v>85</v>
      </c>
      <c r="N50" s="4">
        <v>20205</v>
      </c>
    </row>
    <row r="51" spans="5:14" x14ac:dyDescent="0.3">
      <c r="E51" s="3">
        <f>ROWS($E$8:Table1[[#This Row],[Id]])</f>
        <v>44</v>
      </c>
      <c r="F51" t="s">
        <v>148</v>
      </c>
      <c r="G51" t="s">
        <v>156</v>
      </c>
      <c r="H51" s="3">
        <v>29</v>
      </c>
      <c r="I51" t="s">
        <v>6</v>
      </c>
      <c r="J51" t="s">
        <v>101</v>
      </c>
      <c r="K51" t="s">
        <v>86</v>
      </c>
      <c r="L51" t="s">
        <v>168</v>
      </c>
      <c r="M51" t="s">
        <v>87</v>
      </c>
      <c r="N51" s="4">
        <v>8746</v>
      </c>
    </row>
    <row r="52" spans="5:14" x14ac:dyDescent="0.3">
      <c r="E52" s="3">
        <f>ROWS($E$8:Table1[[#This Row],[Id]])</f>
        <v>45</v>
      </c>
      <c r="F52" t="s">
        <v>149</v>
      </c>
      <c r="G52" t="s">
        <v>164</v>
      </c>
      <c r="H52" s="3">
        <v>32</v>
      </c>
      <c r="I52" t="s">
        <v>9</v>
      </c>
      <c r="J52" t="s">
        <v>111</v>
      </c>
      <c r="K52" t="s">
        <v>88</v>
      </c>
      <c r="L52" t="s">
        <v>107</v>
      </c>
      <c r="M52" t="s">
        <v>89</v>
      </c>
      <c r="N52" s="4">
        <v>15531</v>
      </c>
    </row>
    <row r="53" spans="5:14" x14ac:dyDescent="0.3">
      <c r="E53" s="3">
        <f>ROWS($E$8:Table1[[#This Row],[Id]])</f>
        <v>46</v>
      </c>
      <c r="F53" t="s">
        <v>150</v>
      </c>
      <c r="G53" t="s">
        <v>160</v>
      </c>
      <c r="H53" s="3">
        <v>30</v>
      </c>
      <c r="I53" t="s">
        <v>6</v>
      </c>
      <c r="J53" t="s">
        <v>103</v>
      </c>
      <c r="K53" t="s">
        <v>90</v>
      </c>
      <c r="L53" t="s">
        <v>98</v>
      </c>
      <c r="M53" t="s">
        <v>91</v>
      </c>
      <c r="N53" s="4">
        <v>23055</v>
      </c>
    </row>
    <row r="54" spans="5:14" x14ac:dyDescent="0.3">
      <c r="E54" s="3">
        <f>ROWS($E$8:Table1[[#This Row],[Id]])</f>
        <v>47</v>
      </c>
      <c r="F54" t="s">
        <v>151</v>
      </c>
      <c r="G54" t="s">
        <v>155</v>
      </c>
      <c r="H54" s="3">
        <v>30</v>
      </c>
      <c r="I54" t="s">
        <v>9</v>
      </c>
      <c r="J54" t="s">
        <v>103</v>
      </c>
      <c r="K54" t="s">
        <v>92</v>
      </c>
      <c r="L54" t="s">
        <v>168</v>
      </c>
      <c r="M54" t="s">
        <v>93</v>
      </c>
      <c r="N54" s="4">
        <v>18647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Unmessenger</vt:lpstr>
      <vt:lpstr>Name</vt:lpstr>
      <vt:lpstr>salary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Nabeel</cp:lastModifiedBy>
  <dcterms:created xsi:type="dcterms:W3CDTF">2023-04-26T07:21:03Z</dcterms:created>
  <dcterms:modified xsi:type="dcterms:W3CDTF">2023-08-03T21:27:28Z</dcterms:modified>
</cp:coreProperties>
</file>